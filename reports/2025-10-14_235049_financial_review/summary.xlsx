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Trends" sheetId="2" r:id="rId2"/>
    <sheet name="KPIs" sheetId="3" r:id="rId3"/>
    <sheet name="AR Aging" sheetId="4" r:id="rId4"/>
    <sheet name="AP Aging" sheetId="5" r:id="rId5"/>
    <sheet name="Top Vendors" sheetId="6" r:id="rId6"/>
    <sheet name="Top Customers" sheetId="7" r:id="rId7"/>
    <sheet name="Anomalies" sheetId="8" r:id="rId8"/>
    <sheet name="Forecast" sheetId="9" r:id="rId9"/>
  </sheets>
  <calcPr calcId="124519" fullCalcOnLoad="1"/>
</workbook>
</file>

<file path=xl/sharedStrings.xml><?xml version="1.0" encoding="utf-8"?>
<sst xmlns="http://schemas.openxmlformats.org/spreadsheetml/2006/main" count="339" uniqueCount="180">
  <si>
    <t>REVENUE METRICS</t>
  </si>
  <si>
    <t>Total Revenue</t>
  </si>
  <si>
    <t>YoY Growth %</t>
  </si>
  <si>
    <t>Revenue Run Rate (Annual)</t>
  </si>
  <si>
    <t>EXPENSE METRICS</t>
  </si>
  <si>
    <t>Total OPEX</t>
  </si>
  <si>
    <t>Total Payroll</t>
  </si>
  <si>
    <t>Total Expenses</t>
  </si>
  <si>
    <t>PROFITABILITY</t>
  </si>
  <si>
    <t>Net Profit</t>
  </si>
  <si>
    <t>Net Margin %</t>
  </si>
  <si>
    <t>Avg Gross Margin %</t>
  </si>
  <si>
    <t>EFFICIENCY RATIOS</t>
  </si>
  <si>
    <t>OPEX Ratio %</t>
  </si>
  <si>
    <t>Payroll Ratio %</t>
  </si>
  <si>
    <t>year_month</t>
  </si>
  <si>
    <t>revenue</t>
  </si>
  <si>
    <t>opex</t>
  </si>
  <si>
    <t>payroll</t>
  </si>
  <si>
    <t>gross_margin_pct</t>
  </si>
  <si>
    <t>opex_ratio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</si>
  <si>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</si>
  <si>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</si>
  <si>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</si>
  <si>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</si>
  <si>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</si>
  <si>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</si>
  <si>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</si>
  <si>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</si>
  <si>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</si>
  <si>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</si>
  <si>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</si>
  <si>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</si>
  <si>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</si>
  <si>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</si>
  <si>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</si>
  <si>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</si>
  <si>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</si>
  <si>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</si>
  <si>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</si>
  <si>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GROWTH METRICS</t>
  </si>
  <si>
    <t>Metric</t>
  </si>
  <si>
    <t>Latest Revenue Mom</t>
  </si>
  <si>
    <t>Avg Revenue Mom</t>
  </si>
  <si>
    <t>Latest Revenue Yoy</t>
  </si>
  <si>
    <t>Avg Revenue Yoy</t>
  </si>
  <si>
    <t>Revenue Cagr</t>
  </si>
  <si>
    <t>Latest Opex Mom</t>
  </si>
  <si>
    <t>Avg Opex Mom</t>
  </si>
  <si>
    <t>FINANCIAL RATIOS</t>
  </si>
  <si>
    <t>Ratio</t>
  </si>
  <si>
    <t>Latest Gross Margin</t>
  </si>
  <si>
    <t>Latest Opex Ratio</t>
  </si>
  <si>
    <t>Latest Payroll Ratio</t>
  </si>
  <si>
    <t>Avg Gross Margin</t>
  </si>
  <si>
    <t>Avg Opex Ratio</t>
  </si>
  <si>
    <t>Revenue Run Rate</t>
  </si>
  <si>
    <t>Opex Run Rate</t>
  </si>
  <si>
    <t>Value</t>
  </si>
  <si>
    <t>Period</t>
  </si>
  <si>
    <t>Latest</t>
  </si>
  <si>
    <t>aging_bucket</t>
  </si>
  <si>
    <t>outstanding_amount</t>
  </si>
  <si>
    <t>item_count</t>
  </si>
  <si>
    <t>pct_of_total</t>
  </si>
  <si>
    <t>Current</t>
  </si>
  <si>
    <t>0-30 days</t>
  </si>
  <si>
    <t>31-60 days</t>
  </si>
  <si>
    <t>61-90 days</t>
  </si>
  <si>
    <t>&gt;90 days</t>
  </si>
  <si>
    <t>Unknown</t>
  </si>
  <si>
    <t>Total Outstanding:</t>
  </si>
  <si>
    <t>Overdue %:</t>
  </si>
  <si>
    <t>Vendor</t>
  </si>
  <si>
    <t>Total Amount</t>
  </si>
  <si>
    <t>Transaction Count</t>
  </si>
  <si>
    <t>VEND-026</t>
  </si>
  <si>
    <t>VEND-022</t>
  </si>
  <si>
    <t>VEND-021</t>
  </si>
  <si>
    <t>VEND-003</t>
  </si>
  <si>
    <t>VEND-028</t>
  </si>
  <si>
    <t>VEND-005</t>
  </si>
  <si>
    <t>VEND-013</t>
  </si>
  <si>
    <t>VEND-023</t>
  </si>
  <si>
    <t>VEND-004</t>
  </si>
  <si>
    <t>VEND-029</t>
  </si>
  <si>
    <t>VEND-024</t>
  </si>
  <si>
    <t>VEND-002</t>
  </si>
  <si>
    <t>VEND-017</t>
  </si>
  <si>
    <t>VEND-001</t>
  </si>
  <si>
    <t>VEND-025</t>
  </si>
  <si>
    <t>VEND-009</t>
  </si>
  <si>
    <t>VEND-015</t>
  </si>
  <si>
    <t>VEND-030</t>
  </si>
  <si>
    <t>VEND-007</t>
  </si>
  <si>
    <t>VEND-012</t>
  </si>
  <si>
    <t>Customer</t>
  </si>
  <si>
    <t>CUST-002</t>
  </si>
  <si>
    <t>CUST-014</t>
  </si>
  <si>
    <t>CUST-004</t>
  </si>
  <si>
    <t>CUST-019</t>
  </si>
  <si>
    <t>CUST-003</t>
  </si>
  <si>
    <t>CUST-018</t>
  </si>
  <si>
    <t>CUST-011</t>
  </si>
  <si>
    <t>CUST-013</t>
  </si>
  <si>
    <t>CUST-008</t>
  </si>
  <si>
    <t>CUST-006</t>
  </si>
  <si>
    <t>CUST-015</t>
  </si>
  <si>
    <t>CUST-016</t>
  </si>
  <si>
    <t>CUST-020</t>
  </si>
  <si>
    <t>CUST-005</t>
  </si>
  <si>
    <t>CUST-001</t>
  </si>
  <si>
    <t>CUST-010</t>
  </si>
  <si>
    <t>CUST-012</t>
  </si>
  <si>
    <t>CUST-017</t>
  </si>
  <si>
    <t>CUST-009</t>
  </si>
  <si>
    <t>CUST-007</t>
  </si>
  <si>
    <t>Date</t>
  </si>
  <si>
    <t>Bucket</t>
  </si>
  <si>
    <t>Type</t>
  </si>
  <si>
    <t>Amount</t>
  </si>
  <si>
    <t>Expected</t>
  </si>
  <si>
    <t>Deviation %</t>
  </si>
  <si>
    <t>Severity</t>
  </si>
  <si>
    <t>Method</t>
  </si>
  <si>
    <t>Explanation</t>
  </si>
  <si>
    <t>Payroll - Salaries</t>
  </si>
  <si>
    <t>Payroll - Benefits</t>
  </si>
  <si>
    <t>Revenue - Product B</t>
  </si>
  <si>
    <t>OPEX - Utilities</t>
  </si>
  <si>
    <t>Payables - Suppliers</t>
  </si>
  <si>
    <t>Receivables - Customers</t>
  </si>
  <si>
    <t>OPEX - IT Services</t>
  </si>
  <si>
    <t>OPEX - Professional Services</t>
  </si>
  <si>
    <t>Revenue - Product A</t>
  </si>
  <si>
    <t>Revenue - Services</t>
  </si>
  <si>
    <t>OPEX - Office Rent</t>
  </si>
  <si>
    <t>OPEX - Marketing</t>
  </si>
  <si>
    <t>Payroll</t>
  </si>
  <si>
    <t>Revenue</t>
  </si>
  <si>
    <t>OPEX</t>
  </si>
  <si>
    <t>Payable</t>
  </si>
  <si>
    <t>Receivable</t>
  </si>
  <si>
    <t>low</t>
  </si>
  <si>
    <t>isolation_forest</t>
  </si>
  <si>
    <t>12.1% decrease vs expected in Payroll - Salaries. Top contributor: PAYROLL-DEPT (100% of total)</t>
  </si>
  <si>
    <t>14.8% increase vs expected in Payroll - Benefits. Top contributor: PAYROLL-DEPT (100% of total)</t>
  </si>
  <si>
    <t>16.3% increase vs expected in Payroll - Benefits. Top contributor: PAYROLL-DEPT (100% of total)</t>
  </si>
  <si>
    <t>22.7% decrease vs expected in Payroll - Salaries. Top contributor: PAYROLL-DEPT (100% of total)</t>
  </si>
  <si>
    <t>39.4% increase vs expected in Revenue - Product B. Top contributor: CUST-019 (23% of total)</t>
  </si>
  <si>
    <t>51.1% increase vs expected in OPEX - Utilities. Top contributor: VEND-028 (43% of total)</t>
  </si>
  <si>
    <t>53.7% decrease vs expected in Payables - Suppliers. Top contributor: VEND-010 (15% of total)</t>
  </si>
  <si>
    <t>55.0% increase vs expected in Receivables - Customers. Top contributor: CUST-010 (15% of total)</t>
  </si>
  <si>
    <t>61.0% decrease vs expected in Receivables - Customers. Top contributor: CUST-015 (26% of total)</t>
  </si>
  <si>
    <t>64.0% decrease vs expected in OPEX - IT Services. Top contributor: VEND-028 (17% of total)</t>
  </si>
  <si>
    <t>64.3% decrease vs expected in Revenue - Product B. Top contributor: CUST-003 (32% of total)</t>
  </si>
  <si>
    <t>70.2% increase vs expected in OPEX - Professional Services. Top contributor: VEND-001 (53% of total)</t>
  </si>
  <si>
    <t>71.5% decrease vs expected in Revenue - Product A. Top contributor: CUST-011 (51% of total)</t>
  </si>
  <si>
    <t>76.0% increase vs expected in Payables - Suppliers. Top contributor: VEND-009 (36% of total)</t>
  </si>
  <si>
    <t>77.4% decrease vs expected in OPEX - Professional Services. Top contributor: VEND-014 (16% of total)</t>
  </si>
  <si>
    <t>78.5% decrease vs expected in Revenue - Services. Top contributor: CUST-014 (30% of total)</t>
  </si>
  <si>
    <t>80.8% increase vs expected in OPEX - Office Rent. Top contributor: VEND-018 (44% of total)</t>
  </si>
  <si>
    <t>82.6% decrease vs expected in OPEX - Office Rent. Top contributor: VEND-005 (20% of total)</t>
  </si>
  <si>
    <t>83.0% increase vs expected in Revenue - Product A. Top contributor: CUST-006 (16% of total)</t>
  </si>
  <si>
    <t>83.1% increase vs expected in Revenue - Services. Top contributor: CUST-011 (12% of total)</t>
  </si>
  <si>
    <t>88.1% increase vs expected in OPEX - IT Services. Top contributor: VEND-019 (65% of total)</t>
  </si>
  <si>
    <t>113.0% decrease vs expected in OPEX - Utilities. Top contributor: VEND-026 (20% of total)</t>
  </si>
  <si>
    <t>136.2% decrease vs expected in OPEX - Marketing. Top contributor: VEND-015 (18% of total)</t>
  </si>
  <si>
    <t>140.7% decrease vs expected in OPEX - Marketing. Top contributor: VEND-017 (23% of total)</t>
  </si>
  <si>
    <t>date</t>
  </si>
  <si>
    <t>type</t>
  </si>
  <si>
    <t>forecast</t>
  </si>
  <si>
    <t>lower_bound</t>
  </si>
  <si>
    <t>upper_bound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</si>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</sst>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>
  <numFmts count="2">
    <numFmt numFmtId="164" formatCode="€#,##0.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and OPEX Trends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 Trends'!$A$2:$A$20</c:f>
              <c:strCache>
                <c:ptCount val="19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</c:strCache>
            </c:strRef>
          </c:cat>
          <c:val>
            <c:numRef>
              <c:f>'Monthly Trends'!$B$2:$B$20</c:f>
              <c:numCache>
                <c:formatCode>General</c:formatCode>
                <c:ptCount val="19"/>
                <c:pt idx="0">
                  <c:v>526360.0699999999</c:v>
                </c:pt>
                <c:pt idx="1">
                  <c:v>2031395.48</c:v>
                </c:pt>
                <c:pt idx="2">
                  <c:v>1199382.54</c:v>
                </c:pt>
                <c:pt idx="3">
                  <c:v>1888352.8</c:v>
                </c:pt>
                <c:pt idx="4">
                  <c:v>2096672.92</c:v>
                </c:pt>
                <c:pt idx="5">
                  <c:v>1830310.99</c:v>
                </c:pt>
                <c:pt idx="6">
                  <c:v>1631649.32</c:v>
                </c:pt>
                <c:pt idx="7">
                  <c:v>1802117.71</c:v>
                </c:pt>
                <c:pt idx="8">
                  <c:v>2919576.99</c:v>
                </c:pt>
                <c:pt idx="9">
                  <c:v>2521599.08</c:v>
                </c:pt>
                <c:pt idx="10">
                  <c:v>1664710.5</c:v>
                </c:pt>
                <c:pt idx="11">
                  <c:v>1647842.53</c:v>
                </c:pt>
                <c:pt idx="12">
                  <c:v>1913236.49</c:v>
                </c:pt>
                <c:pt idx="13">
                  <c:v>2098699.31</c:v>
                </c:pt>
                <c:pt idx="14">
                  <c:v>1938815.72</c:v>
                </c:pt>
                <c:pt idx="15">
                  <c:v>1692158.19</c:v>
                </c:pt>
                <c:pt idx="16">
                  <c:v>1977916.41</c:v>
                </c:pt>
                <c:pt idx="17">
                  <c:v>2095820.67</c:v>
                </c:pt>
                <c:pt idx="18">
                  <c:v>1157872.07</c:v>
                </c:pt>
              </c:numCache>
            </c:numRef>
          </c:val>
        </c:ser>
        <c:ser>
          <c:idx val="1"/>
          <c:order val="1"/>
          <c:tx>
            <c:v>OPEX</c:v>
          </c:tx>
          <c:marker>
            <c:symbol val="none"/>
          </c:marker>
          <c:cat>
            <c:strRef>
              <c:f>'Monthly Trends'!$A$2:$A$20</c:f>
              <c:strCache>
                <c:ptCount val="19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</c:strCache>
            </c:strRef>
          </c:cat>
          <c:val>
            <c:numRef>
              <c:f>'Monthly Trends'!$C$2:$C$20</c:f>
              <c:numCache>
                <c:formatCode>General</c:formatCode>
                <c:ptCount val="19"/>
                <c:pt idx="0">
                  <c:v>-104046.51</c:v>
                </c:pt>
                <c:pt idx="1">
                  <c:v>-698478.84</c:v>
                </c:pt>
                <c:pt idx="2">
                  <c:v>-372954.52</c:v>
                </c:pt>
                <c:pt idx="3">
                  <c:v>-621374.86</c:v>
                </c:pt>
                <c:pt idx="4">
                  <c:v>-542912.1</c:v>
                </c:pt>
                <c:pt idx="5">
                  <c:v>-337593.19</c:v>
                </c:pt>
                <c:pt idx="6">
                  <c:v>-479178.22</c:v>
                </c:pt>
                <c:pt idx="7">
                  <c:v>-517680.37</c:v>
                </c:pt>
                <c:pt idx="8">
                  <c:v>-492250.39</c:v>
                </c:pt>
                <c:pt idx="9">
                  <c:v>-587838.99</c:v>
                </c:pt>
                <c:pt idx="10">
                  <c:v>-604145.34</c:v>
                </c:pt>
                <c:pt idx="11">
                  <c:v>-543410.59</c:v>
                </c:pt>
                <c:pt idx="12">
                  <c:v>-474912.78</c:v>
                </c:pt>
                <c:pt idx="13">
                  <c:v>-612530.55</c:v>
                </c:pt>
                <c:pt idx="14">
                  <c:v>-700128.12</c:v>
                </c:pt>
                <c:pt idx="15">
                  <c:v>-622929.71</c:v>
                </c:pt>
                <c:pt idx="16">
                  <c:v>-450181.15</c:v>
                </c:pt>
                <c:pt idx="17">
                  <c:v>-629122.8</c:v>
                </c:pt>
                <c:pt idx="18">
                  <c:v>-318091.13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 (€)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Accounts Receivable Aging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AR Aging</c:v>
          </c:tx>
          <c:cat>
            <c:strRef>
              <c:f>'AR Aging'!$A$2:$A$7</c:f>
              <c:strCache>
                <c:ptCount val="6"/>
                <c:pt idx="0">
                  <c:v>Current</c:v>
                </c:pt>
                <c:pt idx="1">
                  <c:v>0-30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&gt;90 days</c:v>
                </c:pt>
                <c:pt idx="5">
                  <c:v>Unknown</c:v>
                </c:pt>
              </c:strCache>
            </c:strRef>
          </c:cat>
          <c:val>
            <c:numRef>
              <c:f>'AR Aging'!$B$2:$B$7</c:f>
              <c:numCache>
                <c:formatCode>General</c:formatCode>
                <c:ptCount val="6"/>
                <c:pt idx="0">
                  <c:v>8936.66</c:v>
                </c:pt>
                <c:pt idx="1">
                  <c:v>249475.56</c:v>
                </c:pt>
                <c:pt idx="2">
                  <c:v>176485.31</c:v>
                </c:pt>
                <c:pt idx="3">
                  <c:v>108121.16</c:v>
                </c:pt>
                <c:pt idx="4">
                  <c:v>3508014.77</c:v>
                </c:pt>
                <c:pt idx="5">
                  <c:v>61149.87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228600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0.7109375" customWidth="1"/>
    <col min="2" max="2" width="20.7109375" style="1" customWidth="1"/>
  </cols>
  <sheetData>
    <row r="1" spans="1:2">
      <c r="A1" t="s">
        <v>0</v>
      </c>
    </row>
    <row r="2" spans="1:2">
      <c r="A2" t="s">
        <v>1</v>
      </c>
      <c r="B2" s="1">
        <v>34634489.79</v>
      </c>
    </row>
    <row r="3" spans="1:2">
      <c r="A3" t="s">
        <v>2</v>
      </c>
      <c r="B3" s="2">
        <v>-0.2903670808381791</v>
      </c>
    </row>
    <row r="4" spans="1:2">
      <c r="A4" t="s">
        <v>3</v>
      </c>
      <c r="B4" s="1">
        <v>20926436.6</v>
      </c>
    </row>
    <row r="6" spans="1:2">
      <c r="A6" t="s">
        <v>4</v>
      </c>
    </row>
    <row r="7" spans="1:2">
      <c r="A7" t="s">
        <v>5</v>
      </c>
      <c r="B7" s="1">
        <v>-9709760.16</v>
      </c>
    </row>
    <row r="8" spans="1:2">
      <c r="A8" t="s">
        <v>6</v>
      </c>
      <c r="B8" s="1">
        <v>-2156617.19</v>
      </c>
    </row>
    <row r="9" spans="1:2">
      <c r="A9" t="s">
        <v>7</v>
      </c>
      <c r="B9" s="1">
        <v>-11866377.35</v>
      </c>
    </row>
    <row r="11" spans="1:2">
      <c r="A11" t="s">
        <v>8</v>
      </c>
    </row>
    <row r="12" spans="1:2">
      <c r="A12" t="s">
        <v>9</v>
      </c>
      <c r="B12" s="1">
        <v>46500867.14</v>
      </c>
    </row>
    <row r="13" spans="1:2">
      <c r="A13" t="s">
        <v>10</v>
      </c>
      <c r="B13" s="2">
        <v>1.342617356916462</v>
      </c>
    </row>
    <row r="14" spans="1:2">
      <c r="A14" t="s">
        <v>11</v>
      </c>
      <c r="B14" s="2">
        <v>1.282741519018651</v>
      </c>
    </row>
    <row r="16" spans="1:2">
      <c r="A16" t="s">
        <v>12</v>
      </c>
    </row>
    <row r="17" spans="1:2">
      <c r="A17" t="s">
        <v>13</v>
      </c>
      <c r="B17" s="2">
        <v>-0.2747204447206331</v>
      </c>
    </row>
    <row r="18" spans="1:2">
      <c r="A18" t="s">
        <v>14</v>
      </c>
      <c r="B1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12.7109375" customWidth="1"/>
    <col min="2" max="4" width="15.7109375" style="1" customWidth="1"/>
  </cols>
  <sheetData>
    <row r="1" spans="1:6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>
      <c r="A2" t="s">
        <v>21</v>
      </c>
      <c r="B2" s="1">
        <v>526360.0699999999</v>
      </c>
      <c r="C2" s="1">
        <v>-104046.51</v>
      </c>
      <c r="D2" s="1">
        <v>-108683.91</v>
      </c>
      <c r="E2">
        <v>119.7671738283643</v>
      </c>
      <c r="F2">
        <v>-19.7671738283643</v>
      </c>
    </row>
    <row r="3" spans="1:6">
      <c r="A3" t="s">
        <v>22</v>
      </c>
      <c r="B3" s="1">
        <v>2031395.48</v>
      </c>
      <c r="C3" s="1">
        <v>-698478.84</v>
      </c>
      <c r="D3" s="1">
        <v>-127283.24</v>
      </c>
      <c r="E3">
        <v>134.3841879573346</v>
      </c>
      <c r="F3">
        <v>-34.38418795733462</v>
      </c>
    </row>
    <row r="4" spans="1:6">
      <c r="A4" t="s">
        <v>23</v>
      </c>
      <c r="B4" s="1">
        <v>1199382.54</v>
      </c>
      <c r="C4" s="1">
        <v>-372954.52</v>
      </c>
      <c r="D4" s="1">
        <v>-130849.67</v>
      </c>
      <c r="E4">
        <v>131.0955435452645</v>
      </c>
      <c r="F4">
        <v>-31.09554354526455</v>
      </c>
    </row>
    <row r="5" spans="1:6">
      <c r="A5" t="s">
        <v>24</v>
      </c>
      <c r="B5" s="1">
        <v>1888352.8</v>
      </c>
      <c r="C5" s="1">
        <v>-621374.86</v>
      </c>
      <c r="D5" s="1">
        <v>-126163.59</v>
      </c>
      <c r="E5">
        <v>132.9056551296982</v>
      </c>
      <c r="F5">
        <v>-32.90565512969822</v>
      </c>
    </row>
    <row r="6" spans="1:6">
      <c r="A6" t="s">
        <v>25</v>
      </c>
      <c r="B6" s="1">
        <v>2096672.92</v>
      </c>
      <c r="C6" s="1">
        <v>-542912.1</v>
      </c>
      <c r="D6" s="1">
        <v>-109324.34</v>
      </c>
      <c r="E6">
        <v>125.8939815944206</v>
      </c>
      <c r="F6">
        <v>-25.89398159442056</v>
      </c>
    </row>
    <row r="7" spans="1:6">
      <c r="A7" t="s">
        <v>26</v>
      </c>
      <c r="B7" s="1">
        <v>1830310.99</v>
      </c>
      <c r="C7" s="1">
        <v>-337593.19</v>
      </c>
      <c r="D7" s="1">
        <v>-105929.97</v>
      </c>
      <c r="E7">
        <v>118.4445808304959</v>
      </c>
      <c r="F7">
        <v>-18.44458083049592</v>
      </c>
    </row>
    <row r="8" spans="1:6">
      <c r="A8" t="s">
        <v>27</v>
      </c>
      <c r="B8" s="1">
        <v>1631649.32</v>
      </c>
      <c r="C8" s="1">
        <v>-479178.22</v>
      </c>
      <c r="D8" s="1">
        <v>-123108.83</v>
      </c>
      <c r="E8">
        <v>129.3677210002453</v>
      </c>
      <c r="F8">
        <v>-29.36772100024532</v>
      </c>
    </row>
    <row r="9" spans="1:6">
      <c r="A9" t="s">
        <v>28</v>
      </c>
      <c r="B9" s="1">
        <v>1802117.71</v>
      </c>
      <c r="C9" s="1">
        <v>-517680.37</v>
      </c>
      <c r="D9" s="1">
        <v>-105945.46</v>
      </c>
      <c r="E9">
        <v>128.7262239934372</v>
      </c>
      <c r="F9">
        <v>-28.72622399343715</v>
      </c>
    </row>
    <row r="10" spans="1:6">
      <c r="A10" t="s">
        <v>29</v>
      </c>
      <c r="B10" s="1">
        <v>2919576.99</v>
      </c>
      <c r="C10" s="1">
        <v>-492250.39</v>
      </c>
      <c r="D10" s="1">
        <v>-116015.33</v>
      </c>
      <c r="E10">
        <v>116.8603325648213</v>
      </c>
      <c r="F10">
        <v>-16.86033256482132</v>
      </c>
    </row>
    <row r="11" spans="1:6">
      <c r="A11" t="s">
        <v>30</v>
      </c>
      <c r="B11" s="1">
        <v>2521599.08</v>
      </c>
      <c r="C11" s="1">
        <v>-587838.99</v>
      </c>
      <c r="D11" s="1">
        <v>-109319.77</v>
      </c>
      <c r="E11">
        <v>123.3121511925679</v>
      </c>
      <c r="F11">
        <v>-23.31215119256785</v>
      </c>
    </row>
    <row r="12" spans="1:6">
      <c r="A12" t="s">
        <v>31</v>
      </c>
      <c r="B12" s="1">
        <v>1664710.5</v>
      </c>
      <c r="C12" s="1">
        <v>-604145.34</v>
      </c>
      <c r="D12" s="1">
        <v>-115726.04</v>
      </c>
      <c r="E12">
        <v>136.2913155170223</v>
      </c>
      <c r="F12">
        <v>-36.29131551702233</v>
      </c>
    </row>
    <row r="13" spans="1:6">
      <c r="A13" t="s">
        <v>32</v>
      </c>
      <c r="B13" s="1">
        <v>1647842.53</v>
      </c>
      <c r="C13" s="1">
        <v>-543410.59</v>
      </c>
      <c r="D13" s="1">
        <v>-133203.43</v>
      </c>
      <c r="E13">
        <v>132.9770946013877</v>
      </c>
      <c r="F13">
        <v>-32.97709460138767</v>
      </c>
    </row>
    <row r="14" spans="1:6">
      <c r="A14" t="s">
        <v>33</v>
      </c>
      <c r="B14" s="1">
        <v>1913236.49</v>
      </c>
      <c r="C14" s="1">
        <v>-474912.78</v>
      </c>
      <c r="D14" s="1">
        <v>-137424.43</v>
      </c>
      <c r="E14">
        <v>124.8224818250252</v>
      </c>
      <c r="F14">
        <v>-24.82248182502519</v>
      </c>
    </row>
    <row r="15" spans="1:6">
      <c r="A15" t="s">
        <v>34</v>
      </c>
      <c r="B15" s="1">
        <v>2098699.31</v>
      </c>
      <c r="C15" s="1">
        <v>-612530.55</v>
      </c>
      <c r="D15" s="1">
        <v>-110517.18</v>
      </c>
      <c r="E15">
        <v>129.1861986651151</v>
      </c>
      <c r="F15">
        <v>-29.18619866511511</v>
      </c>
    </row>
    <row r="16" spans="1:6">
      <c r="A16" t="s">
        <v>35</v>
      </c>
      <c r="B16" s="1">
        <v>1938815.72</v>
      </c>
      <c r="C16" s="1">
        <v>-700128.12</v>
      </c>
      <c r="D16" s="1">
        <v>-119857.28</v>
      </c>
      <c r="E16">
        <v>136.1111225155529</v>
      </c>
      <c r="F16">
        <v>-36.11112251555294</v>
      </c>
    </row>
    <row r="17" spans="1:6">
      <c r="A17" t="s">
        <v>36</v>
      </c>
      <c r="B17" s="1">
        <v>1692158.19</v>
      </c>
      <c r="C17" s="1">
        <v>-622929.71</v>
      </c>
      <c r="D17" s="1">
        <v>-127188</v>
      </c>
      <c r="E17">
        <v>136.8127349843102</v>
      </c>
      <c r="F17">
        <v>-36.81273498431018</v>
      </c>
    </row>
    <row r="18" spans="1:6">
      <c r="A18" t="s">
        <v>37</v>
      </c>
      <c r="B18" s="1">
        <v>1977916.41</v>
      </c>
      <c r="C18" s="1">
        <v>-450181.15</v>
      </c>
      <c r="D18" s="1">
        <v>-113663.41</v>
      </c>
      <c r="E18">
        <v>122.7603728713692</v>
      </c>
      <c r="F18">
        <v>-22.76037287136922</v>
      </c>
    </row>
    <row r="19" spans="1:6">
      <c r="A19" t="s">
        <v>38</v>
      </c>
      <c r="B19" s="1">
        <v>2095820.67</v>
      </c>
      <c r="C19" s="1">
        <v>-629122.8</v>
      </c>
      <c r="D19" s="1">
        <v>-136413.31</v>
      </c>
      <c r="E19">
        <v>130.0179690469414</v>
      </c>
      <c r="F19">
        <v>-30.01796904694141</v>
      </c>
    </row>
    <row r="20" spans="1:6">
      <c r="A20" t="s">
        <v>39</v>
      </c>
      <c r="B20" s="1">
        <v>1157872.07</v>
      </c>
      <c r="C20" s="1">
        <v>-318091.13</v>
      </c>
      <c r="D20" s="1">
        <v>0</v>
      </c>
      <c r="E20">
        <v>127.4720444720633</v>
      </c>
      <c r="F20">
        <v>-27.47204447206331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35.7109375" customWidth="1"/>
    <col min="2" max="2" width="20.7109375" customWidth="1"/>
    <col min="3" max="3" width="15.7109375" customWidth="1"/>
  </cols>
  <sheetData>
    <row r="1" spans="1:3">
      <c r="A1" t="s">
        <v>40</v>
      </c>
    </row>
    <row r="2" spans="1:3">
      <c r="A2" t="s">
        <v>41</v>
      </c>
      <c r="B2" t="s">
        <v>58</v>
      </c>
      <c r="C2" t="s">
        <v>59</v>
      </c>
    </row>
    <row r="3" spans="1:3">
      <c r="A3" t="s">
        <v>42</v>
      </c>
      <c r="B3">
        <v>-44.75328511766228</v>
      </c>
      <c r="C3" t="s">
        <v>60</v>
      </c>
    </row>
    <row r="4" spans="1:3">
      <c r="A4" t="s">
        <v>43</v>
      </c>
      <c r="B4">
        <v>16.5153093942439</v>
      </c>
      <c r="C4" t="s">
        <v>60</v>
      </c>
    </row>
    <row r="5" spans="1:3">
      <c r="A5" t="s">
        <v>44</v>
      </c>
      <c r="B5">
        <v>-29.03670808381791</v>
      </c>
      <c r="C5" t="s">
        <v>60</v>
      </c>
    </row>
    <row r="6" spans="1:3">
      <c r="A6" t="s">
        <v>45</v>
      </c>
      <c r="B6">
        <v>42.55206757041726</v>
      </c>
      <c r="C6" t="s">
        <v>60</v>
      </c>
    </row>
    <row r="7" spans="1:3">
      <c r="A7" t="s">
        <v>46</v>
      </c>
      <c r="B7">
        <v>64.52750459961625</v>
      </c>
      <c r="C7" t="s">
        <v>60</v>
      </c>
    </row>
    <row r="8" spans="1:3">
      <c r="A8" t="s">
        <v>47</v>
      </c>
      <c r="B8">
        <v>-49.43894419340707</v>
      </c>
      <c r="C8" t="s">
        <v>60</v>
      </c>
    </row>
    <row r="9" spans="1:3">
      <c r="A9" t="s">
        <v>48</v>
      </c>
      <c r="B9">
        <v>32.23887614160603</v>
      </c>
      <c r="C9" t="s">
        <v>60</v>
      </c>
    </row>
    <row r="11" spans="1:3">
      <c r="A11" t="s">
        <v>49</v>
      </c>
    </row>
    <row r="12" spans="1:3">
      <c r="A12" t="s">
        <v>50</v>
      </c>
      <c r="B12" t="s">
        <v>58</v>
      </c>
      <c r="C12" t="s">
        <v>59</v>
      </c>
    </row>
    <row r="13" spans="1:3">
      <c r="A13" t="s">
        <v>51</v>
      </c>
      <c r="B13">
        <v>127.4720444720633</v>
      </c>
      <c r="C13" t="s">
        <v>60</v>
      </c>
    </row>
    <row r="14" spans="1:3">
      <c r="A14" t="s">
        <v>52</v>
      </c>
      <c r="B14">
        <v>-27.47204447206331</v>
      </c>
      <c r="C14" t="s">
        <v>60</v>
      </c>
    </row>
    <row r="15" spans="1:3">
      <c r="A15" t="s">
        <v>53</v>
      </c>
      <c r="B15">
        <v>0</v>
      </c>
      <c r="C15" t="s">
        <v>60</v>
      </c>
    </row>
    <row r="16" spans="1:3">
      <c r="A16" t="s">
        <v>54</v>
      </c>
      <c r="B16">
        <v>128.2741519018651</v>
      </c>
      <c r="C16" t="s">
        <v>60</v>
      </c>
    </row>
    <row r="17" spans="1:3">
      <c r="A17" t="s">
        <v>55</v>
      </c>
      <c r="B17">
        <v>-28.27415190186511</v>
      </c>
      <c r="C17" t="s">
        <v>60</v>
      </c>
    </row>
    <row r="18" spans="1:3">
      <c r="A18" t="s">
        <v>56</v>
      </c>
      <c r="B18">
        <v>20926436.6</v>
      </c>
      <c r="C18" t="s">
        <v>60</v>
      </c>
    </row>
    <row r="19" spans="1:3">
      <c r="A19" t="s">
        <v>57</v>
      </c>
      <c r="B19">
        <v>-5589580.32</v>
      </c>
      <c r="C1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15.7109375" customWidth="1"/>
    <col min="4" max="4" width="15.7109375" style="2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64</v>
      </c>
    </row>
    <row r="2" spans="1:4">
      <c r="A2" t="s">
        <v>65</v>
      </c>
      <c r="B2" s="1">
        <v>8936.66</v>
      </c>
      <c r="C2">
        <v>1</v>
      </c>
      <c r="D2" s="2">
        <v>0.2173215365862592</v>
      </c>
    </row>
    <row r="3" spans="1:4">
      <c r="A3" t="s">
        <v>66</v>
      </c>
      <c r="B3" s="1">
        <v>249475.56</v>
      </c>
      <c r="C3">
        <v>16</v>
      </c>
      <c r="D3" s="2">
        <v>6.066742165408272</v>
      </c>
    </row>
    <row r="4" spans="1:4">
      <c r="A4" t="s">
        <v>67</v>
      </c>
      <c r="B4" s="1">
        <v>176485.31</v>
      </c>
      <c r="C4">
        <v>13</v>
      </c>
      <c r="D4" s="2">
        <v>4.291766583276335</v>
      </c>
    </row>
    <row r="5" spans="1:4">
      <c r="A5" t="s">
        <v>68</v>
      </c>
      <c r="B5" s="1">
        <v>108121.16</v>
      </c>
      <c r="C5">
        <v>9</v>
      </c>
      <c r="D5" s="2">
        <v>2.629288417450007</v>
      </c>
    </row>
    <row r="6" spans="1:4">
      <c r="A6" t="s">
        <v>69</v>
      </c>
      <c r="B6" s="1">
        <v>3508014.77</v>
      </c>
      <c r="C6">
        <v>248</v>
      </c>
      <c r="D6" s="2">
        <v>85.30783986228552</v>
      </c>
    </row>
    <row r="7" spans="1:4">
      <c r="A7" t="s">
        <v>70</v>
      </c>
      <c r="B7" s="1">
        <v>61149.87</v>
      </c>
      <c r="C7">
        <v>5</v>
      </c>
      <c r="D7" s="2">
        <v>1.487041434993609</v>
      </c>
    </row>
    <row r="10" spans="1:4">
      <c r="A10" t="s">
        <v>71</v>
      </c>
      <c r="B10" s="1">
        <v>4112183.33</v>
      </c>
    </row>
    <row r="11" spans="1:4">
      <c r="A11" t="s">
        <v>72</v>
      </c>
      <c r="B11" s="2">
        <v>0.9978267846341373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15.7109375" customWidth="1"/>
    <col min="4" max="4" width="15.7109375" style="2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64</v>
      </c>
    </row>
    <row r="2" spans="1:4">
      <c r="A2" t="s">
        <v>66</v>
      </c>
      <c r="B2" s="1">
        <v>-141178.77</v>
      </c>
      <c r="C2">
        <v>14</v>
      </c>
      <c r="D2" s="2">
        <v>6.06064991313229</v>
      </c>
    </row>
    <row r="3" spans="1:4">
      <c r="A3" t="s">
        <v>67</v>
      </c>
      <c r="B3" s="1">
        <v>-131534.21</v>
      </c>
      <c r="C3">
        <v>15</v>
      </c>
      <c r="D3" s="2">
        <v>5.646619519425082</v>
      </c>
    </row>
    <row r="4" spans="1:4">
      <c r="A4" t="s">
        <v>68</v>
      </c>
      <c r="B4" s="1">
        <v>-77276.64999999999</v>
      </c>
      <c r="C4">
        <v>10</v>
      </c>
      <c r="D4" s="2">
        <v>3.317401916093009</v>
      </c>
    </row>
    <row r="5" spans="1:4">
      <c r="A5" t="s">
        <v>69</v>
      </c>
      <c r="B5" s="1">
        <v>-1895262.72</v>
      </c>
      <c r="C5">
        <v>220</v>
      </c>
      <c r="D5" s="2">
        <v>81.36155201898178</v>
      </c>
    </row>
    <row r="6" spans="1:4">
      <c r="A6" t="s">
        <v>70</v>
      </c>
      <c r="B6" s="1">
        <v>-84180.5</v>
      </c>
      <c r="C6">
        <v>10</v>
      </c>
      <c r="D6" s="2">
        <v>3.613776632367832</v>
      </c>
    </row>
    <row r="9" spans="1:4">
      <c r="A9" t="s">
        <v>71</v>
      </c>
      <c r="B9" s="1">
        <v>-2329432.85</v>
      </c>
    </row>
    <row r="10" spans="1:4">
      <c r="A10" t="s">
        <v>72</v>
      </c>
      <c r="B10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30.7109375" customWidth="1"/>
    <col min="2" max="2" width="20.7109375" style="1" customWidth="1"/>
    <col min="3" max="3" width="18.7109375" customWidth="1"/>
  </cols>
  <sheetData>
    <row r="1" spans="1:3">
      <c r="A1" s="3" t="s">
        <v>73</v>
      </c>
      <c r="B1" s="3" t="s">
        <v>74</v>
      </c>
      <c r="C1" s="3" t="s">
        <v>75</v>
      </c>
    </row>
    <row r="2" spans="1:3">
      <c r="A2" t="s">
        <v>76</v>
      </c>
      <c r="B2" s="1">
        <v>-448649.12</v>
      </c>
      <c r="C2">
        <v>36</v>
      </c>
    </row>
    <row r="3" spans="1:3">
      <c r="A3" t="s">
        <v>77</v>
      </c>
      <c r="B3" s="1">
        <v>-441247.59</v>
      </c>
      <c r="C3">
        <v>39</v>
      </c>
    </row>
    <row r="4" spans="1:3">
      <c r="A4" t="s">
        <v>78</v>
      </c>
      <c r="B4" s="1">
        <v>-423095.82</v>
      </c>
      <c r="C4">
        <v>40</v>
      </c>
    </row>
    <row r="5" spans="1:3">
      <c r="A5" t="s">
        <v>79</v>
      </c>
      <c r="B5" s="1">
        <v>-393794.42</v>
      </c>
      <c r="C5">
        <v>36</v>
      </c>
    </row>
    <row r="6" spans="1:3">
      <c r="A6" t="s">
        <v>80</v>
      </c>
      <c r="B6" s="1">
        <v>-387507.61</v>
      </c>
      <c r="C6">
        <v>37</v>
      </c>
    </row>
    <row r="7" spans="1:3">
      <c r="A7" t="s">
        <v>81</v>
      </c>
      <c r="B7" s="1">
        <v>-387156.81</v>
      </c>
      <c r="C7">
        <v>34</v>
      </c>
    </row>
    <row r="8" spans="1:3">
      <c r="A8" t="s">
        <v>82</v>
      </c>
      <c r="B8" s="1">
        <v>-362002.36</v>
      </c>
      <c r="C8">
        <v>28</v>
      </c>
    </row>
    <row r="9" spans="1:3">
      <c r="A9" t="s">
        <v>83</v>
      </c>
      <c r="B9" s="1">
        <v>-357413.89</v>
      </c>
      <c r="C9">
        <v>34</v>
      </c>
    </row>
    <row r="10" spans="1:3">
      <c r="A10" t="s">
        <v>84</v>
      </c>
      <c r="B10" s="1">
        <v>-348638.01</v>
      </c>
      <c r="C10">
        <v>32</v>
      </c>
    </row>
    <row r="11" spans="1:3">
      <c r="A11" t="s">
        <v>85</v>
      </c>
      <c r="B11" s="1">
        <v>-339816.92</v>
      </c>
      <c r="C11">
        <v>31</v>
      </c>
    </row>
    <row r="12" spans="1:3">
      <c r="A12" t="s">
        <v>86</v>
      </c>
      <c r="B12" s="1">
        <v>-333714.45</v>
      </c>
      <c r="C12">
        <v>32</v>
      </c>
    </row>
    <row r="13" spans="1:3">
      <c r="A13" t="s">
        <v>87</v>
      </c>
      <c r="B13" s="1">
        <v>-333378.33</v>
      </c>
      <c r="C13">
        <v>30</v>
      </c>
    </row>
    <row r="14" spans="1:3">
      <c r="A14" t="s">
        <v>88</v>
      </c>
      <c r="B14" s="1">
        <v>-328144.88</v>
      </c>
      <c r="C14">
        <v>30</v>
      </c>
    </row>
    <row r="15" spans="1:3">
      <c r="A15" t="s">
        <v>89</v>
      </c>
      <c r="B15" s="1">
        <v>-327519.16</v>
      </c>
      <c r="C15">
        <v>30</v>
      </c>
    </row>
    <row r="16" spans="1:3">
      <c r="A16" t="s">
        <v>90</v>
      </c>
      <c r="B16" s="1">
        <v>-324425.44</v>
      </c>
      <c r="C16">
        <v>29</v>
      </c>
    </row>
    <row r="17" spans="1:3">
      <c r="A17" t="s">
        <v>91</v>
      </c>
      <c r="B17" s="1">
        <v>-320913.1</v>
      </c>
      <c r="C17">
        <v>33</v>
      </c>
    </row>
    <row r="18" spans="1:3">
      <c r="A18" t="s">
        <v>92</v>
      </c>
      <c r="B18" s="1">
        <v>-315254.37</v>
      </c>
      <c r="C18">
        <v>33</v>
      </c>
    </row>
    <row r="19" spans="1:3">
      <c r="A19" t="s">
        <v>93</v>
      </c>
      <c r="B19" s="1">
        <v>-314931.87</v>
      </c>
      <c r="C19">
        <v>29</v>
      </c>
    </row>
    <row r="20" spans="1:3">
      <c r="A20" t="s">
        <v>94</v>
      </c>
      <c r="B20" s="1">
        <v>-299903.26</v>
      </c>
      <c r="C20">
        <v>31</v>
      </c>
    </row>
    <row r="21" spans="1:3">
      <c r="A21" t="s">
        <v>95</v>
      </c>
      <c r="B21" s="1">
        <v>-292424.42</v>
      </c>
      <c r="C2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30.7109375" customWidth="1"/>
    <col min="2" max="2" width="20.7109375" style="1" customWidth="1"/>
    <col min="3" max="3" width="18.7109375" customWidth="1"/>
  </cols>
  <sheetData>
    <row r="1" spans="1:3">
      <c r="A1" s="3" t="s">
        <v>96</v>
      </c>
      <c r="B1" s="3" t="s">
        <v>74</v>
      </c>
      <c r="C1" s="3" t="s">
        <v>75</v>
      </c>
    </row>
    <row r="2" spans="1:3">
      <c r="A2" t="s">
        <v>97</v>
      </c>
      <c r="B2" s="1">
        <v>2210411.56</v>
      </c>
      <c r="C2">
        <v>76</v>
      </c>
    </row>
    <row r="3" spans="1:3">
      <c r="A3" t="s">
        <v>98</v>
      </c>
      <c r="B3" s="1">
        <v>2070136.89</v>
      </c>
      <c r="C3">
        <v>76</v>
      </c>
    </row>
    <row r="4" spans="1:3">
      <c r="A4" t="s">
        <v>99</v>
      </c>
      <c r="B4" s="1">
        <v>2053401.46</v>
      </c>
      <c r="C4">
        <v>70</v>
      </c>
    </row>
    <row r="5" spans="1:3">
      <c r="A5" t="s">
        <v>100</v>
      </c>
      <c r="B5" s="1">
        <v>2036413.71</v>
      </c>
      <c r="C5">
        <v>68</v>
      </c>
    </row>
    <row r="6" spans="1:3">
      <c r="A6" t="s">
        <v>101</v>
      </c>
      <c r="B6" s="1">
        <v>2032754.79</v>
      </c>
      <c r="C6">
        <v>72</v>
      </c>
    </row>
    <row r="7" spans="1:3">
      <c r="A7" t="s">
        <v>102</v>
      </c>
      <c r="B7" s="1">
        <v>1996933.76</v>
      </c>
      <c r="C7">
        <v>69</v>
      </c>
    </row>
    <row r="8" spans="1:3">
      <c r="A8" t="s">
        <v>103</v>
      </c>
      <c r="B8" s="1">
        <v>1937265.5</v>
      </c>
      <c r="C8">
        <v>69</v>
      </c>
    </row>
    <row r="9" spans="1:3">
      <c r="A9" t="s">
        <v>104</v>
      </c>
      <c r="B9" s="1">
        <v>1873773.74</v>
      </c>
      <c r="C9">
        <v>64</v>
      </c>
    </row>
    <row r="10" spans="1:3">
      <c r="A10" t="s">
        <v>105</v>
      </c>
      <c r="B10" s="1">
        <v>1802687.54</v>
      </c>
      <c r="C10">
        <v>65</v>
      </c>
    </row>
    <row r="11" spans="1:3">
      <c r="A11" t="s">
        <v>106</v>
      </c>
      <c r="B11" s="1">
        <v>1789087.07</v>
      </c>
      <c r="C11">
        <v>58</v>
      </c>
    </row>
    <row r="12" spans="1:3">
      <c r="A12" t="s">
        <v>107</v>
      </c>
      <c r="B12" s="1">
        <v>1738410.82</v>
      </c>
      <c r="C12">
        <v>57</v>
      </c>
    </row>
    <row r="13" spans="1:3">
      <c r="A13" t="s">
        <v>108</v>
      </c>
      <c r="B13" s="1">
        <v>1716537.43</v>
      </c>
      <c r="C13">
        <v>61</v>
      </c>
    </row>
    <row r="14" spans="1:3">
      <c r="A14" t="s">
        <v>109</v>
      </c>
      <c r="B14" s="1">
        <v>1655666.48</v>
      </c>
      <c r="C14">
        <v>58</v>
      </c>
    </row>
    <row r="15" spans="1:3">
      <c r="A15" t="s">
        <v>110</v>
      </c>
      <c r="B15" s="1">
        <v>1642095.51</v>
      </c>
      <c r="C15">
        <v>59</v>
      </c>
    </row>
    <row r="16" spans="1:3">
      <c r="A16" t="s">
        <v>111</v>
      </c>
      <c r="B16" s="1">
        <v>1556428.62</v>
      </c>
      <c r="C16">
        <v>64</v>
      </c>
    </row>
    <row r="17" spans="1:3">
      <c r="A17" t="s">
        <v>112</v>
      </c>
      <c r="B17" s="1">
        <v>1445898.78</v>
      </c>
      <c r="C17">
        <v>54</v>
      </c>
    </row>
    <row r="18" spans="1:3">
      <c r="A18" t="s">
        <v>113</v>
      </c>
      <c r="B18" s="1">
        <v>1416007.55</v>
      </c>
      <c r="C18">
        <v>49</v>
      </c>
    </row>
    <row r="19" spans="1:3">
      <c r="A19" t="s">
        <v>114</v>
      </c>
      <c r="B19" s="1">
        <v>1401386.88</v>
      </c>
      <c r="C19">
        <v>48</v>
      </c>
    </row>
    <row r="20" spans="1:3">
      <c r="A20" t="s">
        <v>115</v>
      </c>
      <c r="B20" s="1">
        <v>1209002.46</v>
      </c>
      <c r="C20">
        <v>46</v>
      </c>
    </row>
    <row r="21" spans="1:3">
      <c r="A21" t="s">
        <v>116</v>
      </c>
      <c r="B21" s="1">
        <v>1050189.24</v>
      </c>
      <c r="C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cols>
    <col min="1" max="1" width="12.7109375" customWidth="1"/>
    <col min="2" max="2" width="25.7109375" customWidth="1"/>
    <col min="3" max="3" width="15.7109375" customWidth="1"/>
    <col min="4" max="5" width="15.7109375" style="1" customWidth="1"/>
    <col min="6" max="6" width="15.7109375" style="2" customWidth="1"/>
    <col min="7" max="8" width="15.7109375" customWidth="1"/>
    <col min="9" max="9" width="50.7109375" customWidth="1"/>
  </cols>
  <sheetData>
    <row r="1" spans="1:9">
      <c r="A1" s="3" t="s">
        <v>117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</row>
    <row r="2" spans="1:9">
      <c r="A2" t="s">
        <v>32</v>
      </c>
      <c r="B2" t="s">
        <v>126</v>
      </c>
      <c r="C2" t="s">
        <v>138</v>
      </c>
      <c r="D2" s="1">
        <v>-63718.26</v>
      </c>
      <c r="E2" s="1">
        <v>-56864.345</v>
      </c>
      <c r="F2" s="2">
        <v>-0.1205309759569024</v>
      </c>
      <c r="G2" t="s">
        <v>143</v>
      </c>
      <c r="H2" t="s">
        <v>144</v>
      </c>
      <c r="I2" t="s">
        <v>145</v>
      </c>
    </row>
    <row r="3" spans="1:9">
      <c r="A3" t="s">
        <v>21</v>
      </c>
      <c r="B3" t="s">
        <v>127</v>
      </c>
      <c r="C3" t="s">
        <v>138</v>
      </c>
      <c r="D3" s="1">
        <v>-51399.48</v>
      </c>
      <c r="E3" s="1">
        <v>-60353.285</v>
      </c>
      <c r="F3" s="2">
        <v>0.1483565476179134</v>
      </c>
      <c r="G3" t="s">
        <v>143</v>
      </c>
      <c r="H3" t="s">
        <v>144</v>
      </c>
      <c r="I3" t="s">
        <v>146</v>
      </c>
    </row>
    <row r="4" spans="1:9">
      <c r="A4" t="s">
        <v>26</v>
      </c>
      <c r="B4" t="s">
        <v>127</v>
      </c>
      <c r="C4" t="s">
        <v>138</v>
      </c>
      <c r="D4" s="1">
        <v>-50521.26</v>
      </c>
      <c r="E4" s="1">
        <v>-60353.285</v>
      </c>
      <c r="F4" s="2">
        <v>0.1629078682295421</v>
      </c>
      <c r="G4" t="s">
        <v>143</v>
      </c>
      <c r="H4" t="s">
        <v>144</v>
      </c>
      <c r="I4" t="s">
        <v>147</v>
      </c>
    </row>
    <row r="5" spans="1:9">
      <c r="A5" t="s">
        <v>23</v>
      </c>
      <c r="B5" t="s">
        <v>126</v>
      </c>
      <c r="C5" t="s">
        <v>138</v>
      </c>
      <c r="D5" s="1">
        <v>-69766.63</v>
      </c>
      <c r="E5" s="1">
        <v>-56864.345</v>
      </c>
      <c r="F5" s="2">
        <v>-0.2268958694591488</v>
      </c>
      <c r="G5" t="s">
        <v>143</v>
      </c>
      <c r="H5" t="s">
        <v>144</v>
      </c>
      <c r="I5" t="s">
        <v>148</v>
      </c>
    </row>
    <row r="6" spans="1:9">
      <c r="A6" t="s">
        <v>30</v>
      </c>
      <c r="B6" t="s">
        <v>128</v>
      </c>
      <c r="C6" t="s">
        <v>139</v>
      </c>
      <c r="D6" s="1">
        <v>877983.71</v>
      </c>
      <c r="E6" s="1">
        <v>629786.42</v>
      </c>
      <c r="F6" s="2">
        <v>0.3940975577085322</v>
      </c>
      <c r="G6" t="s">
        <v>143</v>
      </c>
      <c r="H6" t="s">
        <v>144</v>
      </c>
      <c r="I6" t="s">
        <v>149</v>
      </c>
    </row>
    <row r="7" spans="1:9">
      <c r="A7" t="s">
        <v>25</v>
      </c>
      <c r="B7" t="s">
        <v>129</v>
      </c>
      <c r="C7" t="s">
        <v>140</v>
      </c>
      <c r="D7" s="1">
        <v>-43316.67</v>
      </c>
      <c r="E7" s="1">
        <v>-88666.66</v>
      </c>
      <c r="F7" s="2">
        <v>0.511466091087676</v>
      </c>
      <c r="G7" t="s">
        <v>143</v>
      </c>
      <c r="H7" t="s">
        <v>144</v>
      </c>
      <c r="I7" t="s">
        <v>150</v>
      </c>
    </row>
    <row r="8" spans="1:9">
      <c r="A8" t="s">
        <v>27</v>
      </c>
      <c r="B8" t="s">
        <v>130</v>
      </c>
      <c r="C8" t="s">
        <v>141</v>
      </c>
      <c r="D8" s="1">
        <v>-199068.8</v>
      </c>
      <c r="E8" s="1">
        <v>-129484.34</v>
      </c>
      <c r="F8" s="2">
        <v>-0.5373967230322987</v>
      </c>
      <c r="G8" t="s">
        <v>143</v>
      </c>
      <c r="H8" t="s">
        <v>144</v>
      </c>
      <c r="I8" t="s">
        <v>151</v>
      </c>
    </row>
    <row r="9" spans="1:9">
      <c r="A9" t="s">
        <v>34</v>
      </c>
      <c r="B9" t="s">
        <v>131</v>
      </c>
      <c r="C9" t="s">
        <v>142</v>
      </c>
      <c r="D9" s="1">
        <v>334120.92</v>
      </c>
      <c r="E9" s="1">
        <v>215602.33</v>
      </c>
      <c r="F9" s="2">
        <v>0.5497092262407368</v>
      </c>
      <c r="G9" t="s">
        <v>143</v>
      </c>
      <c r="H9" t="s">
        <v>144</v>
      </c>
      <c r="I9" t="s">
        <v>152</v>
      </c>
    </row>
    <row r="10" spans="1:9">
      <c r="A10" t="s">
        <v>21</v>
      </c>
      <c r="B10" t="s">
        <v>131</v>
      </c>
      <c r="C10" t="s">
        <v>142</v>
      </c>
      <c r="D10" s="1">
        <v>84144.35000000001</v>
      </c>
      <c r="E10" s="1">
        <v>215602.33</v>
      </c>
      <c r="F10" s="2">
        <v>-0.6097243012169673</v>
      </c>
      <c r="G10" t="s">
        <v>143</v>
      </c>
      <c r="H10" t="s">
        <v>144</v>
      </c>
      <c r="I10" t="s">
        <v>153</v>
      </c>
    </row>
    <row r="11" spans="1:9">
      <c r="A11" t="s">
        <v>35</v>
      </c>
      <c r="B11" t="s">
        <v>132</v>
      </c>
      <c r="C11" t="s">
        <v>140</v>
      </c>
      <c r="D11" s="1">
        <v>-190416.04</v>
      </c>
      <c r="E11" s="1">
        <v>-116103.78</v>
      </c>
      <c r="F11" s="2">
        <v>-0.6400503067169736</v>
      </c>
      <c r="G11" t="s">
        <v>143</v>
      </c>
      <c r="H11" t="s">
        <v>144</v>
      </c>
      <c r="I11" t="s">
        <v>154</v>
      </c>
    </row>
    <row r="12" spans="1:9">
      <c r="A12" t="s">
        <v>21</v>
      </c>
      <c r="B12" t="s">
        <v>128</v>
      </c>
      <c r="C12" t="s">
        <v>139</v>
      </c>
      <c r="D12" s="1">
        <v>224642.11</v>
      </c>
      <c r="E12" s="1">
        <v>629786.42</v>
      </c>
      <c r="F12" s="2">
        <v>-0.6433042967169728</v>
      </c>
      <c r="G12" t="s">
        <v>143</v>
      </c>
      <c r="H12" t="s">
        <v>144</v>
      </c>
      <c r="I12" t="s">
        <v>155</v>
      </c>
    </row>
    <row r="13" spans="1:9">
      <c r="A13" t="s">
        <v>21</v>
      </c>
      <c r="B13" t="s">
        <v>133</v>
      </c>
      <c r="C13" t="s">
        <v>140</v>
      </c>
      <c r="D13" s="1">
        <v>-27430.56</v>
      </c>
      <c r="E13" s="1">
        <v>-91997.70999999999</v>
      </c>
      <c r="F13" s="2">
        <v>0.7018343173976831</v>
      </c>
      <c r="G13" t="s">
        <v>143</v>
      </c>
      <c r="H13" t="s">
        <v>144</v>
      </c>
      <c r="I13" t="s">
        <v>156</v>
      </c>
    </row>
    <row r="14" spans="1:9">
      <c r="A14" t="s">
        <v>21</v>
      </c>
      <c r="B14" t="s">
        <v>134</v>
      </c>
      <c r="C14" t="s">
        <v>139</v>
      </c>
      <c r="D14" s="1">
        <v>166349.93</v>
      </c>
      <c r="E14" s="1">
        <v>582874.72</v>
      </c>
      <c r="F14" s="2">
        <v>-0.7146043149718347</v>
      </c>
      <c r="G14" t="s">
        <v>143</v>
      </c>
      <c r="H14" t="s">
        <v>144</v>
      </c>
      <c r="I14" t="s">
        <v>157</v>
      </c>
    </row>
    <row r="15" spans="1:9">
      <c r="A15" t="s">
        <v>21</v>
      </c>
      <c r="B15" t="s">
        <v>130</v>
      </c>
      <c r="C15" t="s">
        <v>141</v>
      </c>
      <c r="D15" s="1">
        <v>-31109.18</v>
      </c>
      <c r="E15" s="1">
        <v>-129484.34</v>
      </c>
      <c r="F15" s="2">
        <v>0.7597456186593683</v>
      </c>
      <c r="G15" t="s">
        <v>143</v>
      </c>
      <c r="H15" t="s">
        <v>144</v>
      </c>
      <c r="I15" t="s">
        <v>158</v>
      </c>
    </row>
    <row r="16" spans="1:9">
      <c r="A16" t="s">
        <v>34</v>
      </c>
      <c r="B16" t="s">
        <v>133</v>
      </c>
      <c r="C16" t="s">
        <v>140</v>
      </c>
      <c r="D16" s="1">
        <v>-163167.56</v>
      </c>
      <c r="E16" s="1">
        <v>-91997.70999999999</v>
      </c>
      <c r="F16" s="2">
        <v>-0.7736045821140549</v>
      </c>
      <c r="G16" t="s">
        <v>143</v>
      </c>
      <c r="H16" t="s">
        <v>144</v>
      </c>
      <c r="I16" t="s">
        <v>159</v>
      </c>
    </row>
    <row r="17" spans="1:9">
      <c r="A17" t="s">
        <v>21</v>
      </c>
      <c r="B17" t="s">
        <v>135</v>
      </c>
      <c r="C17" t="s">
        <v>139</v>
      </c>
      <c r="D17" s="1">
        <v>135368.03</v>
      </c>
      <c r="E17" s="1">
        <v>629976.51</v>
      </c>
      <c r="F17" s="2">
        <v>-0.7851220992350967</v>
      </c>
      <c r="G17" t="s">
        <v>143</v>
      </c>
      <c r="H17" t="s">
        <v>144</v>
      </c>
      <c r="I17" t="s">
        <v>160</v>
      </c>
    </row>
    <row r="18" spans="1:9">
      <c r="A18" t="s">
        <v>21</v>
      </c>
      <c r="B18" t="s">
        <v>136</v>
      </c>
      <c r="C18" t="s">
        <v>140</v>
      </c>
      <c r="D18" s="1">
        <v>-21263.97</v>
      </c>
      <c r="E18" s="1">
        <v>-110553.25</v>
      </c>
      <c r="F18" s="2">
        <v>0.8076585717742355</v>
      </c>
      <c r="G18" t="s">
        <v>143</v>
      </c>
      <c r="H18" t="s">
        <v>144</v>
      </c>
      <c r="I18" t="s">
        <v>161</v>
      </c>
    </row>
    <row r="19" spans="1:9">
      <c r="A19" t="s">
        <v>22</v>
      </c>
      <c r="B19" t="s">
        <v>136</v>
      </c>
      <c r="C19" t="s">
        <v>140</v>
      </c>
      <c r="D19" s="1">
        <v>-201875.82</v>
      </c>
      <c r="E19" s="1">
        <v>-110553.25</v>
      </c>
      <c r="F19" s="2">
        <v>-0.8260505231641766</v>
      </c>
      <c r="G19" t="s">
        <v>143</v>
      </c>
      <c r="H19" t="s">
        <v>144</v>
      </c>
      <c r="I19" t="s">
        <v>162</v>
      </c>
    </row>
    <row r="20" spans="1:9">
      <c r="A20" t="s">
        <v>29</v>
      </c>
      <c r="B20" t="s">
        <v>134</v>
      </c>
      <c r="C20" t="s">
        <v>139</v>
      </c>
      <c r="D20" s="1">
        <v>1066437.26</v>
      </c>
      <c r="E20" s="1">
        <v>582874.72</v>
      </c>
      <c r="F20" s="2">
        <v>0.8296165941113385</v>
      </c>
      <c r="G20" t="s">
        <v>143</v>
      </c>
      <c r="H20" t="s">
        <v>144</v>
      </c>
      <c r="I20" t="s">
        <v>163</v>
      </c>
    </row>
    <row r="21" spans="1:9">
      <c r="A21" t="s">
        <v>29</v>
      </c>
      <c r="B21" t="s">
        <v>135</v>
      </c>
      <c r="C21" t="s">
        <v>139</v>
      </c>
      <c r="D21" s="1">
        <v>1153565.69</v>
      </c>
      <c r="E21" s="1">
        <v>629976.51</v>
      </c>
      <c r="F21" s="2">
        <v>0.8311249255944478</v>
      </c>
      <c r="G21" t="s">
        <v>143</v>
      </c>
      <c r="H21" t="s">
        <v>144</v>
      </c>
      <c r="I21" t="s">
        <v>164</v>
      </c>
    </row>
    <row r="22" spans="1:9">
      <c r="A22" t="s">
        <v>21</v>
      </c>
      <c r="B22" t="s">
        <v>132</v>
      </c>
      <c r="C22" t="s">
        <v>140</v>
      </c>
      <c r="D22" s="1">
        <v>-13846.19</v>
      </c>
      <c r="E22" s="1">
        <v>-116103.78</v>
      </c>
      <c r="F22" s="2">
        <v>0.880742987006969</v>
      </c>
      <c r="G22" t="s">
        <v>143</v>
      </c>
      <c r="H22" t="s">
        <v>144</v>
      </c>
      <c r="I22" t="s">
        <v>165</v>
      </c>
    </row>
    <row r="23" spans="1:9">
      <c r="A23" t="s">
        <v>35</v>
      </c>
      <c r="B23" t="s">
        <v>129</v>
      </c>
      <c r="C23" t="s">
        <v>140</v>
      </c>
      <c r="D23" s="1">
        <v>-188883.81</v>
      </c>
      <c r="E23" s="1">
        <v>-88666.66</v>
      </c>
      <c r="F23" s="2">
        <v>-1.130268694005165</v>
      </c>
      <c r="G23" t="s">
        <v>143</v>
      </c>
      <c r="H23" t="s">
        <v>144</v>
      </c>
      <c r="I23" t="s">
        <v>166</v>
      </c>
    </row>
    <row r="24" spans="1:9">
      <c r="A24" t="s">
        <v>25</v>
      </c>
      <c r="B24" t="s">
        <v>137</v>
      </c>
      <c r="C24" t="s">
        <v>140</v>
      </c>
      <c r="D24" s="1">
        <v>-216924.54</v>
      </c>
      <c r="E24" s="1">
        <v>-91829.64999999999</v>
      </c>
      <c r="F24" s="2">
        <v>-1.36224944775462</v>
      </c>
      <c r="G24" t="s">
        <v>143</v>
      </c>
      <c r="H24" t="s">
        <v>144</v>
      </c>
      <c r="I24" t="s">
        <v>167</v>
      </c>
    </row>
    <row r="25" spans="1:9">
      <c r="A25" t="s">
        <v>38</v>
      </c>
      <c r="B25" t="s">
        <v>137</v>
      </c>
      <c r="C25" t="s">
        <v>140</v>
      </c>
      <c r="D25" s="1">
        <v>-221072.56</v>
      </c>
      <c r="E25" s="1">
        <v>-91829.64999999999</v>
      </c>
      <c r="F25" s="2">
        <v>-1.407420261320826</v>
      </c>
      <c r="G25" t="s">
        <v>143</v>
      </c>
      <c r="H25" t="s">
        <v>144</v>
      </c>
      <c r="I25" t="s">
        <v>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12.7109375" customWidth="1"/>
    <col min="2" max="2" width="15.7109375" customWidth="1"/>
    <col min="3" max="5" width="18.7109375" style="1" customWidth="1"/>
  </cols>
  <sheetData>
    <row r="1" spans="1:5">
      <c r="A1" s="3" t="s">
        <v>169</v>
      </c>
      <c r="B1" s="3" t="s">
        <v>170</v>
      </c>
      <c r="C1" s="3" t="s">
        <v>171</v>
      </c>
      <c r="D1" s="3" t="s">
        <v>172</v>
      </c>
      <c r="E1" s="3" t="s">
        <v>173</v>
      </c>
    </row>
    <row r="2" spans="1:5">
      <c r="A2" t="s">
        <v>174</v>
      </c>
      <c r="B2" t="s">
        <v>139</v>
      </c>
      <c r="C2" s="1">
        <v>1576091.018571428</v>
      </c>
      <c r="D2" s="1">
        <v>581859.8778432277</v>
      </c>
      <c r="E2" s="1">
        <v>2570322.159299629</v>
      </c>
    </row>
    <row r="3" spans="1:5">
      <c r="A3" t="s">
        <v>175</v>
      </c>
      <c r="B3" t="s">
        <v>139</v>
      </c>
      <c r="C3" s="1">
        <v>1419286.478571428</v>
      </c>
      <c r="D3" s="1">
        <v>13231.31521993363</v>
      </c>
      <c r="E3" s="1">
        <v>2825341.641922923</v>
      </c>
    </row>
    <row r="4" spans="1:5">
      <c r="A4" t="s">
        <v>176</v>
      </c>
      <c r="B4" t="s">
        <v>139</v>
      </c>
      <c r="C4" s="1">
        <v>1262481.938571428</v>
      </c>
      <c r="D4" s="1">
        <v>-459576.9116369777</v>
      </c>
      <c r="E4" s="1">
        <v>2984540.788779834</v>
      </c>
    </row>
    <row r="5" spans="1:5">
      <c r="A5" t="s">
        <v>177</v>
      </c>
      <c r="B5" t="s">
        <v>139</v>
      </c>
      <c r="C5" s="1">
        <v>1105677.398571428</v>
      </c>
      <c r="D5" s="1">
        <v>-882784.8828849732</v>
      </c>
      <c r="E5" s="1">
        <v>3094139.68002783</v>
      </c>
    </row>
    <row r="6" spans="1:5">
      <c r="A6" t="s">
        <v>178</v>
      </c>
      <c r="B6" t="s">
        <v>139</v>
      </c>
      <c r="C6" s="1">
        <v>948872.8585714285</v>
      </c>
      <c r="D6" s="1">
        <v>-1274295.557443989</v>
      </c>
      <c r="E6" s="1">
        <v>3172041.274586845</v>
      </c>
    </row>
    <row r="7" spans="1:5">
      <c r="A7" t="s">
        <v>179</v>
      </c>
      <c r="B7" t="s">
        <v>139</v>
      </c>
      <c r="C7" s="1">
        <v>792068.3185714285</v>
      </c>
      <c r="D7" s="1">
        <v>-1643290.662597918</v>
      </c>
      <c r="E7" s="1">
        <v>3227427.299740775</v>
      </c>
    </row>
    <row r="8" spans="1:5">
      <c r="A8" t="s">
        <v>174</v>
      </c>
      <c r="B8" t="s">
        <v>140</v>
      </c>
      <c r="C8" s="1">
        <v>-462186.8252380952</v>
      </c>
      <c r="D8" s="1">
        <v>-752497.9875678904</v>
      </c>
      <c r="E8" s="1">
        <v>-171875.6629083</v>
      </c>
    </row>
    <row r="9" spans="1:5">
      <c r="A9" t="s">
        <v>175</v>
      </c>
      <c r="B9" t="s">
        <v>140</v>
      </c>
      <c r="C9" s="1">
        <v>-413113.5885714286</v>
      </c>
      <c r="D9" s="1">
        <v>-823675.5716465223</v>
      </c>
      <c r="E9" s="1">
        <v>-2551.60549633496</v>
      </c>
    </row>
    <row r="10" spans="1:5">
      <c r="A10" t="s">
        <v>176</v>
      </c>
      <c r="B10" t="s">
        <v>140</v>
      </c>
      <c r="C10" s="1">
        <v>-364040.3519047619</v>
      </c>
      <c r="D10" s="1">
        <v>-866874.0350643431</v>
      </c>
      <c r="E10" s="1">
        <v>138793.3312548193</v>
      </c>
    </row>
    <row r="11" spans="1:5">
      <c r="A11" t="s">
        <v>177</v>
      </c>
      <c r="B11" t="s">
        <v>140</v>
      </c>
      <c r="C11" s="1">
        <v>-314967.1152380953</v>
      </c>
      <c r="D11" s="1">
        <v>-895589.4398976858</v>
      </c>
      <c r="E11" s="1">
        <v>265655.2094214952</v>
      </c>
    </row>
    <row r="12" spans="1:5">
      <c r="A12" t="s">
        <v>178</v>
      </c>
      <c r="B12" t="s">
        <v>140</v>
      </c>
      <c r="C12" s="1">
        <v>-265893.8785714286</v>
      </c>
      <c r="D12" s="1">
        <v>-915049.372167827</v>
      </c>
      <c r="E12" s="1">
        <v>383261.6150249698</v>
      </c>
    </row>
    <row r="13" spans="1:5">
      <c r="A13" t="s">
        <v>179</v>
      </c>
      <c r="B13" t="s">
        <v>140</v>
      </c>
      <c r="C13" s="1">
        <v>-216820.6419047619</v>
      </c>
      <c r="D13" s="1">
        <v>-927934.8562470574</v>
      </c>
      <c r="E13" s="1">
        <v>494293.5724375336</v>
      </c>
    </row>
    <row r="14" spans="1:5">
      <c r="A14" t="s">
        <v>39</v>
      </c>
      <c r="B14" t="s">
        <v>138</v>
      </c>
      <c r="C14" s="1">
        <v>-124287.6485714286</v>
      </c>
      <c r="D14" s="1">
        <v>-145185.6163441846</v>
      </c>
      <c r="E14" s="1">
        <v>-103389.6807986725</v>
      </c>
    </row>
    <row r="15" spans="1:5">
      <c r="A15" t="s">
        <v>174</v>
      </c>
      <c r="B15" t="s">
        <v>138</v>
      </c>
      <c r="C15" s="1">
        <v>-124119.1285714286</v>
      </c>
      <c r="D15" s="1">
        <v>-153673.3180216961</v>
      </c>
      <c r="E15" s="1">
        <v>-94564.93912116112</v>
      </c>
    </row>
    <row r="16" spans="1:5">
      <c r="A16" t="s">
        <v>175</v>
      </c>
      <c r="B16" t="s">
        <v>138</v>
      </c>
      <c r="C16" s="1">
        <v>-123950.6085714286</v>
      </c>
      <c r="D16" s="1">
        <v>-160146.9505287791</v>
      </c>
      <c r="E16" s="1">
        <v>-87754.26661407809</v>
      </c>
    </row>
    <row r="17" spans="1:5">
      <c r="A17" t="s">
        <v>176</v>
      </c>
      <c r="B17" t="s">
        <v>138</v>
      </c>
      <c r="C17" s="1">
        <v>-123782.0885714286</v>
      </c>
      <c r="D17" s="1">
        <v>-165578.0241169407</v>
      </c>
      <c r="E17" s="1">
        <v>-81986.15302591647</v>
      </c>
    </row>
    <row r="18" spans="1:5">
      <c r="A18" t="s">
        <v>177</v>
      </c>
      <c r="B18" t="s">
        <v>138</v>
      </c>
      <c r="C18" s="1">
        <v>-123613.5685714286</v>
      </c>
      <c r="D18" s="1">
        <v>-170342.845102911</v>
      </c>
      <c r="E18" s="1">
        <v>-76884.29203994617</v>
      </c>
    </row>
    <row r="19" spans="1:5">
      <c r="A19" t="s">
        <v>178</v>
      </c>
      <c r="B19" t="s">
        <v>138</v>
      </c>
      <c r="C19" s="1">
        <v>-123445.0485714286</v>
      </c>
      <c r="D19" s="1">
        <v>-174634.406275808</v>
      </c>
      <c r="E19" s="1">
        <v>-72255.69086704921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Monthly Trends</vt:lpstr>
      <vt:lpstr>KPIs</vt:lpstr>
      <vt:lpstr>AR Aging</vt:lpstr>
      <vt:lpstr>AP Aging</vt:lpstr>
      <vt:lpstr>Top Vendors</vt:lpstr>
      <vt:lpstr>Top Customers</vt:lpstr>
      <vt:lpstr>Anomalies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2025-10-14T20:50:52Z</dcterms:created>
  <dcterms:modified xsi:type="dcterms:W3CDTF">2025-10-14T20:50:52Z</dcterms:modified>
</cp:coreProperties>
</file>